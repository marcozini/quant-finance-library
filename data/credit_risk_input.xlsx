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zini/Documents/quant-finance-library/data/"/>
    </mc:Choice>
  </mc:AlternateContent>
  <xr:revisionPtr revIDLastSave="0" documentId="13_ncr:1_{AC589929-C763-8347-9132-10ABE222B524}" xr6:coauthVersionLast="47" xr6:coauthVersionMax="47" xr10:uidLastSave="{00000000-0000-0000-0000-000000000000}"/>
  <bookViews>
    <workbookView xWindow="6040" yWindow="1280" windowWidth="22320" windowHeight="16940" activeTab="1" xr2:uid="{71A1B2AA-8C59-A248-837C-5FE01B2376AA}"/>
  </bookViews>
  <sheets>
    <sheet name="credit_portfolio" sheetId="1" r:id="rId1"/>
    <sheet name="model_settings" sheetId="2" r:id="rId2"/>
    <sheet name="factor_proxies" sheetId="3" r:id="rId3"/>
    <sheet name="rating_migration_matrix" sheetId="4" r:id="rId4"/>
    <sheet name="market_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4" l="1"/>
  <c r="L8" i="4"/>
  <c r="C8" i="4"/>
  <c r="L7" i="4"/>
  <c r="C7" i="4"/>
  <c r="L6" i="4"/>
  <c r="C6" i="4"/>
  <c r="L5" i="4"/>
  <c r="C5" i="4"/>
  <c r="L4" i="4"/>
  <c r="C4" i="4"/>
  <c r="L3" i="4"/>
  <c r="C3" i="4"/>
  <c r="L2" i="4"/>
  <c r="C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Zini, Marco (STUDENTS)</author>
  </authors>
  <commentList>
    <comment ref="C1" authorId="0" shapeId="0" xr:uid="{05A02FEE-3256-B64A-B6DE-96E80A4FD1A7}">
      <text>
        <r>
          <rPr>
            <b/>
            <sz val="10"/>
            <color rgb="FF000000"/>
            <rFont val="Arial"/>
            <family val="2"/>
          </rPr>
          <t xml:space="preserve">Zini, Marco: </t>
        </r>
        <r>
          <rPr>
            <sz val="10"/>
            <color rgb="FF000000"/>
            <rFont val="Arial"/>
            <family val="2"/>
          </rPr>
          <t>Fallback ticker for factor-loading estimation if the primary ticker is unavailable. Used directly for unlisted counterparties.</t>
        </r>
      </text>
    </comment>
  </commentList>
</comments>
</file>

<file path=xl/sharedStrings.xml><?xml version="1.0" encoding="utf-8"?>
<sst xmlns="http://schemas.openxmlformats.org/spreadsheetml/2006/main" count="222" uniqueCount="137">
  <si>
    <t>counterparty</t>
  </si>
  <si>
    <t>ticker</t>
  </si>
  <si>
    <t>factor_loading_proxy_ticker</t>
  </si>
  <si>
    <t>exposure</t>
  </si>
  <si>
    <t>currency</t>
  </si>
  <si>
    <t>lgd</t>
  </si>
  <si>
    <t>pd_method</t>
  </si>
  <si>
    <t>rating</t>
  </si>
  <si>
    <t>equity_value</t>
  </si>
  <si>
    <t>equity_volatility</t>
  </si>
  <si>
    <t>debt</t>
  </si>
  <si>
    <t>maturity</t>
  </si>
  <si>
    <t>coupon_rate</t>
  </si>
  <si>
    <t>payment_frequency</t>
  </si>
  <si>
    <t>sector</t>
  </si>
  <si>
    <t>region</t>
  </si>
  <si>
    <t>Siemens</t>
  </si>
  <si>
    <t>SIE.DE</t>
  </si>
  <si>
    <t>EXI</t>
  </si>
  <si>
    <t>EUR</t>
  </si>
  <si>
    <t>merton</t>
  </si>
  <si>
    <t>Industrial</t>
  </si>
  <si>
    <t>Europe</t>
  </si>
  <si>
    <t>Apple</t>
  </si>
  <si>
    <t>AAPL</t>
  </si>
  <si>
    <t>IXN</t>
  </si>
  <si>
    <t>USD</t>
  </si>
  <si>
    <t>AA</t>
  </si>
  <si>
    <t>Technology</t>
  </si>
  <si>
    <t>US</t>
  </si>
  <si>
    <t>JPMorgan</t>
  </si>
  <si>
    <t>JPM</t>
  </si>
  <si>
    <t>IXG</t>
  </si>
  <si>
    <t>A</t>
  </si>
  <si>
    <t>Financial</t>
  </si>
  <si>
    <t>Roche</t>
  </si>
  <si>
    <t>RO.SW</t>
  </si>
  <si>
    <t>IXJ</t>
  </si>
  <si>
    <t>CHF</t>
  </si>
  <si>
    <t>Healthcare</t>
  </si>
  <si>
    <t>Shell</t>
  </si>
  <si>
    <t>SHEL.L</t>
  </si>
  <si>
    <t>IXC</t>
  </si>
  <si>
    <t>GBP</t>
  </si>
  <si>
    <t>BBB</t>
  </si>
  <si>
    <t>Energy</t>
  </si>
  <si>
    <t>US Industrial Corp</t>
  </si>
  <si>
    <t>CAT</t>
  </si>
  <si>
    <t>SAP.DE</t>
  </si>
  <si>
    <t>BB</t>
  </si>
  <si>
    <t>data_type</t>
  </si>
  <si>
    <t>base_currency</t>
  </si>
  <si>
    <t>tenor_years</t>
  </si>
  <si>
    <t>value</t>
  </si>
  <si>
    <t>as_of_date</t>
  </si>
  <si>
    <t>curve_type</t>
  </si>
  <si>
    <t>source</t>
  </si>
  <si>
    <t>source_url</t>
  </si>
  <si>
    <t>notes</t>
  </si>
  <si>
    <t>fx</t>
  </si>
  <si>
    <t>ECB reference rates / identity</t>
  </si>
  <si>
    <t>https://www.ecb.europa.eu/stats/eurofxref/shared/pdf/2025/12/20251231.pdf</t>
  </si>
  <si>
    <t>CHF is the portfolio base currency; 1 CHF = 1 CHF.</t>
  </si>
  <si>
    <t>ECB reference rates</t>
  </si>
  <si>
    <t>Direct ECB quote: 1 EUR = 0.9314 CHF.</t>
  </si>
  <si>
    <t>ECB reference rates (derived cross rate)</t>
  </si>
  <si>
    <t>Derived as EUR/CHF divided by EUR/USD: 0.9314 / 1.1750.</t>
  </si>
  <si>
    <t>Derived as EUR/CHF divided by EUR/GBP: 0.9314 / 0.87260.</t>
  </si>
  <si>
    <t>risk_free</t>
  </si>
  <si>
    <t>flat_policy_proxy</t>
  </si>
  <si>
    <t>Swiss National Bank</t>
  </si>
  <si>
    <t>https://www.snb.ch/en/publications/communication/press-releases-restricted/pre_20251211</t>
  </si>
  <si>
    <t>Fallback flat curve proxy based on the SNB policy rate, unchanged at 0% in December 2025.</t>
  </si>
  <si>
    <t>European Central Bank</t>
  </si>
  <si>
    <t>https://www.ecb.europa.eu/stats/policy_and_exchange_rates/key_ecb_interest_rates/html/index.en.html</t>
  </si>
  <si>
    <t>Fallback flat curve proxy based on the ECB deposit facility rate, 2.00% at year-end 2025.</t>
  </si>
  <si>
    <t>Federal Reserve</t>
  </si>
  <si>
    <t>https://www.federalreserve.gov/newsevents/pressreleases/monetary20251210a.htm</t>
  </si>
  <si>
    <t>Fallback flat curve proxy using the midpoint of the 3.50%-3.75% federal funds target range.</t>
  </si>
  <si>
    <t>Bank of England</t>
  </si>
  <si>
    <t>https://www.bankofengland.co.uk/boeapps/database/fromshowcolumns.asp?C=13T&amp;CSVF=TT&amp;DAT=RNG&amp;FD=1&amp;FM=Jan&amp;FY=2025&amp;Filter=N&amp;FromSeries=1&amp;TD=31&amp;TM=Dec&amp;TY=2025&amp;ToSeries=50&amp;Travel=NIxIRxSUx&amp;html.x=129</t>
  </si>
  <si>
    <t>Fallback flat curve proxy based on the Official Bank Rate, 3.75% on 31 Dec 2025.</t>
  </si>
  <si>
    <t>current_rating</t>
  </si>
  <si>
    <t>spread_bps</t>
  </si>
  <si>
    <t>spread_decimal</t>
  </si>
  <si>
    <t>AAA</t>
  </si>
  <si>
    <t>B</t>
  </si>
  <si>
    <t>CCC</t>
  </si>
  <si>
    <t>D</t>
  </si>
  <si>
    <t>row_sum</t>
  </si>
  <si>
    <t>factor_type</t>
  </si>
  <si>
    <t>factor_name</t>
  </si>
  <si>
    <t>description</t>
  </si>
  <si>
    <t>global</t>
  </si>
  <si>
    <t>Global</t>
  </si>
  <si>
    <t>ACWI</t>
  </si>
  <si>
    <t>iShares MSCI ACWI ETF; proxy for the global equity market and systemic factor.</t>
  </si>
  <si>
    <t>SPY</t>
  </si>
  <si>
    <t>SPDR S&amp;P 500 ETF; proxy for the US equity market and regional factor.</t>
  </si>
  <si>
    <t>VGK</t>
  </si>
  <si>
    <t>Vanguard FTSE Europe ETF; proxy for the European equity market and regional factor.</t>
  </si>
  <si>
    <t>iShares Global Tech ETF; proxy for the global technology sector factor.</t>
  </si>
  <si>
    <t>iShares Global Industrials ETF; proxy for the global industrial sector factor.</t>
  </si>
  <si>
    <t>iShares Global Financials ETF; proxy for the global financial sector factor.</t>
  </si>
  <si>
    <t>iShares Global Energy ETF; proxy for the global energy sector factor.</t>
  </si>
  <si>
    <t>iShares Global Healthcare ETF; proxy for the global healthcare sector factor.</t>
  </si>
  <si>
    <t>setting</t>
  </si>
  <si>
    <t>number_simulations</t>
  </si>
  <si>
    <t>Number of Monte Carlo scenarios used to simulate the portfolio loss distribution.</t>
  </si>
  <si>
    <t>seed</t>
  </si>
  <si>
    <t>Random seed used to make simulation results reproducible.</t>
  </si>
  <si>
    <t>confidence_level</t>
  </si>
  <si>
    <t>Confidence level used to calculate portfolio Value at Risk (VaR) and Expected Shortfall (ES).</t>
  </si>
  <si>
    <t>dependence_model</t>
  </si>
  <si>
    <t>t_copula</t>
  </si>
  <si>
    <r>
      <t>Dependence model used to generate joint counterparty defaults: </t>
    </r>
    <r>
      <rPr>
        <sz val="10"/>
        <color rgb="FF000000"/>
        <rFont val="Arial Unicode MS"/>
        <family val="2"/>
      </rPr>
      <t>independent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gaussian_copula</t>
    </r>
    <r>
      <rPr>
        <sz val="12"/>
        <color rgb="FF000000"/>
        <rFont val="Aptos Narrow"/>
        <family val="2"/>
        <scheme val="minor"/>
      </rPr>
      <t>, or </t>
    </r>
    <r>
      <rPr>
        <sz val="10"/>
        <color rgb="FF000000"/>
        <rFont val="Arial Unicode MS"/>
        <family val="2"/>
      </rPr>
      <t>t_copula</t>
    </r>
    <r>
      <rPr>
        <sz val="12"/>
        <color rgb="FF000000"/>
        <rFont val="Aptos Narrow"/>
        <family val="2"/>
        <scheme val="minor"/>
      </rPr>
      <t>.</t>
    </r>
  </si>
  <si>
    <t>t_degrees_of_freedom</t>
  </si>
  <si>
    <r>
      <t>Degrees of freedom of the t-copula. Lower values imply stronger tail dependence. Used only when </t>
    </r>
    <r>
      <rPr>
        <sz val="10"/>
        <color rgb="FF000000"/>
        <rFont val="Arial Unicode MS"/>
        <family val="2"/>
      </rPr>
      <t>dependence_model = t_copula</t>
    </r>
    <r>
      <rPr>
        <sz val="12"/>
        <color rgb="FF000000"/>
        <rFont val="Aptos Narrow"/>
        <family val="2"/>
        <scheme val="minor"/>
      </rPr>
      <t>.</t>
    </r>
  </si>
  <si>
    <t>factor_structure</t>
  </si>
  <si>
    <t>global_sector_region</t>
  </si>
  <si>
    <r>
      <t>Systematic factor structure used to model default dependence: </t>
    </r>
    <r>
      <rPr>
        <sz val="10"/>
        <color rgb="FF000000"/>
        <rFont val="Arial Unicode MS"/>
        <family val="2"/>
      </rPr>
      <t>single_factor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global_sector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global_region</t>
    </r>
    <r>
      <rPr>
        <sz val="12"/>
        <color rgb="FF000000"/>
        <rFont val="Aptos Narrow"/>
        <family val="2"/>
        <scheme val="minor"/>
      </rPr>
      <t>, or </t>
    </r>
    <r>
      <rPr>
        <sz val="10"/>
        <color rgb="FF000000"/>
        <rFont val="Arial Unicode MS"/>
        <family val="2"/>
      </rPr>
      <t>global_sector_region</t>
    </r>
    <r>
      <rPr>
        <sz val="12"/>
        <color rgb="FF000000"/>
        <rFont val="Aptos Narrow"/>
        <family val="2"/>
        <scheme val="minor"/>
      </rPr>
      <t>. Ignored when defaults are independent.</t>
    </r>
  </si>
  <si>
    <t>factor_lookback_years</t>
  </si>
  <si>
    <t>Historical lookback period, in years, used to estimate systematic factor loadings from market data.</t>
  </si>
  <si>
    <t>Base currency used to convert and aggregate all portfolio exposures and simulated losses. FX rates are retrieved automatically, with the stored snapshot used as fallback.</t>
  </si>
  <si>
    <t>create_excel_output</t>
  </si>
  <si>
    <t>create_pdf_output</t>
  </si>
  <si>
    <t>create_plot_files</t>
  </si>
  <si>
    <t>Controls whether a detailed Excel results workbook is created after the portfolio model run.</t>
  </si>
  <si>
    <t>Controls whether a compact PDF summary report is created after the portfolio model run.</t>
  </si>
  <si>
    <t>Controls whether the individual portfolio risk charts are saved as separate image files.</t>
  </si>
  <si>
    <t>European Tech Corp</t>
  </si>
  <si>
    <t>Private Industrial Co</t>
  </si>
  <si>
    <t>output_folder</t>
  </si>
  <si>
    <t>Folder in which generated Excel, PDF and plot outputs are stored. Relative paths are recommended for portability.</t>
  </si>
  <si>
    <t>market_data_date</t>
  </si>
  <si>
    <t>Market data date used for FX rates and risk free rates. Use latest for the most recent available observations, or enter a date (YYYY-MM-DD) to use the latest available observations on or before that date.</t>
  </si>
  <si>
    <t>outputs/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</si>
</sst>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Aptos Narrow"/>
      <scheme val="minor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  <font>
      <sz val="14"/>
      <color rgb="FF000000"/>
      <name val="-webkit-standard"/>
    </font>
    <font>
      <sz val="12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9" fontId="3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0" fillId="0" borderId="1" xfId="0" applyBorder="1"/>
    <xf numFmtId="0" fontId="2" fillId="0" borderId="1" xfId="0" applyFont="1" applyBorder="1"/>
    <xf numFmtId="0" fontId="8" fillId="0" borderId="0" xfId="0" applyFont="1"/>
    <xf numFmtId="14" fontId="10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469900</xdr:colOff>
      <xdr:row>0</xdr:row>
      <xdr:rowOff>152400</xdr:rowOff>
    </xdr:from>
    <xdr:to>
      <xdr:col>16</xdr:col>
      <xdr:colOff>469900</xdr:colOff>
      <xdr:row>6</xdr:row>
      <xdr:rowOff>12700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4858C1E-25D9-CF40-B1D3-FA5889AF3661}"/>
            </a:ext>
          </a:extLst>
        </xdr:cNvPr>
        <xdr:cNvSpPr txBox="1">
          <a:spLocks noChangeArrowheads="1"/>
        </xdr:cNvSpPr>
      </xdr:nvSpPr>
      <xdr:spPr bwMode="auto">
        <a:xfrm>
          <a:off x="10375900" y="152400"/>
          <a:ext cx="3302000" cy="1079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Demonstration inputs only. Transition probabilities and spreads are synthetic, not sourced from a rating agency. Spread shock = destination spread - current spread.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CD5A-16CF-0845-B62B-D993C8618612}">
  <dimension ref="A1:P26"/>
  <sheetViews>
    <sheetView workbookViewId="0">
      <selection activeCell="C21" sqref="C21"/>
    </sheetView>
  </sheetViews>
  <sheetFormatPr baseColWidth="10" defaultRowHeight="16"/>
  <cols>
    <col min="1" max="1" width="23.1640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4">
        <v>75</v>
      </c>
      <c r="E2" s="2" t="s">
        <v>19</v>
      </c>
      <c r="F2" s="2">
        <v>0.5</v>
      </c>
      <c r="G2" s="2" t="s">
        <v>20</v>
      </c>
      <c r="H2" s="2"/>
      <c r="I2" s="2"/>
      <c r="J2" s="2"/>
      <c r="K2" s="2"/>
      <c r="L2" s="2">
        <v>5</v>
      </c>
      <c r="M2" s="3">
        <v>0.03</v>
      </c>
      <c r="N2" s="2">
        <v>1</v>
      </c>
      <c r="O2" s="2" t="s">
        <v>21</v>
      </c>
      <c r="P2" s="2" t="s">
        <v>22</v>
      </c>
    </row>
    <row r="3" spans="1:16">
      <c r="A3" s="2" t="s">
        <v>23</v>
      </c>
      <c r="B3" s="2" t="s">
        <v>24</v>
      </c>
      <c r="C3" s="2" t="s">
        <v>25</v>
      </c>
      <c r="D3" s="4">
        <v>400</v>
      </c>
      <c r="E3" s="2" t="s">
        <v>26</v>
      </c>
      <c r="F3" s="2">
        <v>0.5</v>
      </c>
      <c r="G3" s="2" t="s">
        <v>7</v>
      </c>
      <c r="H3" s="2" t="s">
        <v>27</v>
      </c>
      <c r="I3" s="2"/>
      <c r="J3" s="2"/>
      <c r="K3" s="2"/>
      <c r="L3" s="2">
        <v>5</v>
      </c>
      <c r="M3" s="3">
        <v>3.5000000000000003E-2</v>
      </c>
      <c r="N3" s="2">
        <v>2</v>
      </c>
      <c r="O3" s="2" t="s">
        <v>28</v>
      </c>
      <c r="P3" s="2" t="s">
        <v>29</v>
      </c>
    </row>
    <row r="4" spans="1:16">
      <c r="A4" s="2" t="s">
        <v>30</v>
      </c>
      <c r="B4" s="2" t="s">
        <v>31</v>
      </c>
      <c r="C4" s="2" t="s">
        <v>32</v>
      </c>
      <c r="D4" s="4">
        <v>90</v>
      </c>
      <c r="E4" s="2" t="s">
        <v>26</v>
      </c>
      <c r="F4" s="2">
        <v>0.5</v>
      </c>
      <c r="G4" s="2" t="s">
        <v>7</v>
      </c>
      <c r="H4" s="2" t="s">
        <v>33</v>
      </c>
      <c r="I4" s="2"/>
      <c r="J4" s="2"/>
      <c r="K4" s="2"/>
      <c r="L4" s="2">
        <v>5</v>
      </c>
      <c r="M4" s="3">
        <v>4.4999999999999998E-2</v>
      </c>
      <c r="N4" s="2">
        <v>2</v>
      </c>
      <c r="O4" s="2" t="s">
        <v>34</v>
      </c>
      <c r="P4" s="2" t="s">
        <v>29</v>
      </c>
    </row>
    <row r="5" spans="1:16">
      <c r="A5" s="2" t="s">
        <v>35</v>
      </c>
      <c r="B5" s="2" t="s">
        <v>36</v>
      </c>
      <c r="C5" s="2" t="s">
        <v>37</v>
      </c>
      <c r="D5" s="2">
        <v>70</v>
      </c>
      <c r="E5" s="2" t="s">
        <v>38</v>
      </c>
      <c r="F5" s="2">
        <v>0.5</v>
      </c>
      <c r="G5" s="2" t="s">
        <v>7</v>
      </c>
      <c r="H5" s="2" t="s">
        <v>27</v>
      </c>
      <c r="I5" s="2"/>
      <c r="J5" s="2"/>
      <c r="K5" s="2"/>
      <c r="L5" s="2">
        <v>4</v>
      </c>
      <c r="M5" s="3">
        <v>0.03</v>
      </c>
      <c r="N5" s="2">
        <v>1</v>
      </c>
      <c r="O5" s="2" t="s">
        <v>39</v>
      </c>
      <c r="P5" s="2" t="s">
        <v>22</v>
      </c>
    </row>
    <row r="6" spans="1:16">
      <c r="A6" s="2" t="s">
        <v>40</v>
      </c>
      <c r="B6" s="2" t="s">
        <v>41</v>
      </c>
      <c r="C6" s="2" t="s">
        <v>42</v>
      </c>
      <c r="D6" s="2">
        <v>65</v>
      </c>
      <c r="E6" s="2" t="s">
        <v>43</v>
      </c>
      <c r="F6" s="2">
        <v>0.5</v>
      </c>
      <c r="G6" s="2" t="s">
        <v>7</v>
      </c>
      <c r="H6" s="2" t="s">
        <v>44</v>
      </c>
      <c r="I6" s="2"/>
      <c r="J6" s="2"/>
      <c r="K6" s="2"/>
      <c r="L6" s="2">
        <v>7</v>
      </c>
      <c r="M6" s="3">
        <v>0.05</v>
      </c>
      <c r="N6" s="2">
        <v>2</v>
      </c>
      <c r="O6" s="2" t="s">
        <v>45</v>
      </c>
      <c r="P6" s="2" t="s">
        <v>22</v>
      </c>
    </row>
    <row r="7" spans="1:16">
      <c r="A7" s="2" t="s">
        <v>46</v>
      </c>
      <c r="B7" s="2"/>
      <c r="C7" s="2" t="s">
        <v>47</v>
      </c>
      <c r="D7">
        <v>55</v>
      </c>
      <c r="E7" s="2" t="s">
        <v>26</v>
      </c>
      <c r="F7" s="2">
        <v>0.5</v>
      </c>
      <c r="G7" s="2" t="s">
        <v>7</v>
      </c>
      <c r="H7" s="2" t="s">
        <v>44</v>
      </c>
      <c r="I7" s="2"/>
      <c r="J7" s="2"/>
      <c r="K7" s="2"/>
      <c r="L7" s="2">
        <v>5</v>
      </c>
      <c r="M7" s="3">
        <v>5.5E-2</v>
      </c>
      <c r="N7" s="2">
        <v>2</v>
      </c>
      <c r="O7" s="2" t="s">
        <v>21</v>
      </c>
      <c r="P7" s="2" t="s">
        <v>29</v>
      </c>
    </row>
    <row r="8" spans="1:16">
      <c r="A8" s="2" t="s">
        <v>130</v>
      </c>
      <c r="B8" s="2"/>
      <c r="C8" s="2" t="s">
        <v>48</v>
      </c>
      <c r="D8">
        <v>45</v>
      </c>
      <c r="E8" s="2" t="s">
        <v>19</v>
      </c>
      <c r="F8" s="2">
        <v>0.5</v>
      </c>
      <c r="G8" s="2" t="s">
        <v>7</v>
      </c>
      <c r="H8" s="2" t="s">
        <v>49</v>
      </c>
      <c r="I8" s="2"/>
      <c r="J8" s="2"/>
      <c r="K8" s="2"/>
      <c r="L8" s="2">
        <v>4</v>
      </c>
      <c r="M8" s="3">
        <v>6.5000000000000002E-2</v>
      </c>
      <c r="N8" s="2">
        <v>1</v>
      </c>
      <c r="O8" s="2" t="s">
        <v>28</v>
      </c>
      <c r="P8" s="2" t="s">
        <v>22</v>
      </c>
    </row>
    <row r="9" spans="1:16">
      <c r="A9" s="2" t="s">
        <v>131</v>
      </c>
      <c r="B9" s="2"/>
      <c r="C9" s="2" t="s">
        <v>17</v>
      </c>
      <c r="D9">
        <v>35</v>
      </c>
      <c r="E9" s="2" t="s">
        <v>19</v>
      </c>
      <c r="F9" s="2">
        <v>0.5</v>
      </c>
      <c r="G9" s="2" t="s">
        <v>20</v>
      </c>
      <c r="H9" s="2"/>
      <c r="I9" s="4">
        <v>20</v>
      </c>
      <c r="J9" s="5">
        <v>0.45</v>
      </c>
      <c r="K9" s="4">
        <v>80</v>
      </c>
      <c r="L9" s="2">
        <v>4</v>
      </c>
      <c r="M9" s="3">
        <v>4.4999999999999998E-2</v>
      </c>
      <c r="N9" s="2">
        <v>1</v>
      </c>
      <c r="O9" s="2" t="s">
        <v>21</v>
      </c>
      <c r="P9" s="2" t="s">
        <v>22</v>
      </c>
    </row>
    <row r="11" spans="1:16" ht="18">
      <c r="F11" s="13"/>
    </row>
    <row r="12" spans="1:16">
      <c r="A12" s="1"/>
      <c r="B12" s="1"/>
    </row>
    <row r="13" spans="1:16">
      <c r="A13" s="1"/>
      <c r="B13" s="1"/>
    </row>
    <row r="14" spans="1:16">
      <c r="A14" s="2"/>
      <c r="B14" s="1"/>
    </row>
    <row r="15" spans="1:16">
      <c r="A15" s="2"/>
      <c r="B15" s="1"/>
    </row>
    <row r="16" spans="1:16" ht="18">
      <c r="A16" s="2"/>
      <c r="B16" s="13"/>
      <c r="C16" s="1"/>
    </row>
    <row r="17" spans="1:3">
      <c r="A17" s="2"/>
      <c r="B17" s="2"/>
      <c r="C17" s="1"/>
    </row>
    <row r="18" spans="1:3">
      <c r="A18" s="2"/>
      <c r="B18" s="1"/>
      <c r="C18" s="1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B22" s="2"/>
      <c r="C22" s="2"/>
    </row>
    <row r="23" spans="1:3">
      <c r="B23" s="2"/>
      <c r="C23" s="2"/>
    </row>
    <row r="24" spans="1:3">
      <c r="B24" s="2"/>
      <c r="C24" s="2"/>
    </row>
    <row r="25" spans="1:3">
      <c r="B25" s="2"/>
      <c r="C25" s="2"/>
    </row>
    <row r="26" spans="1:3">
      <c r="B26" s="2"/>
      <c r="C26" s="2"/>
    </row>
  </sheetData>
  <dataValidations disablePrompts="1" count="4">
    <dataValidation type="list" allowBlank="1" showInputMessage="1" showErrorMessage="1" sqref="O2:O9" xr:uid="{A6DCADD5-A8CA-7146-B6FA-DE4E17DBADA6}">
      <formula1>"Technology,Industrial,Financial,Energy,Healthcare"</formula1>
    </dataValidation>
    <dataValidation type="list" allowBlank="1" showInputMessage="1" showErrorMessage="1" sqref="P2:P9" xr:uid="{057BA2BD-6660-7F43-825B-C21B90AD83B6}">
      <formula1>"US,Europe"</formula1>
    </dataValidation>
    <dataValidation type="list" allowBlank="1" showInputMessage="1" showErrorMessage="1" sqref="E2:E9" xr:uid="{A2E2C74C-C5E2-BE4E-8B32-2500664419F8}">
      <formula1>"USD,CHF,EUF,GBP"</formula1>
    </dataValidation>
    <dataValidation type="list" allowBlank="1" showInputMessage="1" showErrorMessage="1" sqref="G2:G9" xr:uid="{0D621BD3-91C4-3849-87CB-1E7EC0029C34}">
      <formula1>"rating,merton"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9874-B4B8-234B-9801-5D94ABBE055A}">
  <dimension ref="A1:C15"/>
  <sheetViews>
    <sheetView tabSelected="1" zoomScale="107" zoomScaleNormal="107" workbookViewId="0">
      <selection activeCell="C4" sqref="C4"/>
    </sheetView>
  </sheetViews>
  <sheetFormatPr baseColWidth="10" defaultRowHeight="16"/>
  <cols>
    <col min="1" max="1" width="18.5" bestFit="1" customWidth="1"/>
    <col min="2" max="2" width="17.1640625" bestFit="1" customWidth="1"/>
    <col min="3" max="3" width="165" bestFit="1" customWidth="1"/>
  </cols>
  <sheetData>
    <row r="1" spans="1:3">
      <c r="A1" s="1" t="s">
        <v>106</v>
      </c>
      <c r="B1" s="1" t="s">
        <v>53</v>
      </c>
      <c r="C1" s="1" t="s">
        <v>92</v>
      </c>
    </row>
    <row r="2" spans="1:3" ht="17">
      <c r="A2" s="7" t="s">
        <v>107</v>
      </c>
      <c r="B2" s="2">
        <v>100000</v>
      </c>
      <c r="C2" s="2" t="s">
        <v>108</v>
      </c>
    </row>
    <row r="3" spans="1:3" ht="17">
      <c r="A3" s="7" t="s">
        <v>109</v>
      </c>
      <c r="B3" s="2">
        <v>0</v>
      </c>
      <c r="C3" s="2" t="s">
        <v>110</v>
      </c>
    </row>
    <row r="4" spans="1:3" ht="17">
      <c r="A4" s="7" t="s">
        <v>111</v>
      </c>
      <c r="B4" s="2">
        <v>0.995</v>
      </c>
      <c r="C4" s="2" t="s">
        <v>112</v>
      </c>
    </row>
    <row r="5" spans="1:3" ht="17">
      <c r="A5" s="7" t="s">
        <v>113</v>
      </c>
      <c r="B5" s="7" t="s">
        <v>114</v>
      </c>
      <c r="C5" s="2" t="s">
        <v>115</v>
      </c>
    </row>
    <row r="6" spans="1:3" ht="17">
      <c r="A6" s="7" t="s">
        <v>116</v>
      </c>
      <c r="B6" s="2">
        <v>5</v>
      </c>
      <c r="C6" s="2" t="s">
        <v>117</v>
      </c>
    </row>
    <row r="7" spans="1:3" ht="17">
      <c r="A7" s="7" t="s">
        <v>118</v>
      </c>
      <c r="B7" s="7" t="s">
        <v>119</v>
      </c>
      <c r="C7" s="2" t="s">
        <v>120</v>
      </c>
    </row>
    <row r="8" spans="1:3" ht="17">
      <c r="A8" s="7" t="s">
        <v>121</v>
      </c>
      <c r="B8" s="2">
        <v>3</v>
      </c>
      <c r="C8" s="2" t="s">
        <v>122</v>
      </c>
    </row>
    <row r="9" spans="1:3" ht="18" thickBot="1">
      <c r="A9" s="8" t="s">
        <v>51</v>
      </c>
      <c r="B9" s="9" t="s">
        <v>26</v>
      </c>
      <c r="C9" s="10" t="s">
        <v>123</v>
      </c>
    </row>
    <row r="10" spans="1:3" ht="17">
      <c r="A10" s="7" t="s">
        <v>124</v>
      </c>
      <c r="B10" s="2" t="b">
        <v>1</v>
      </c>
      <c r="C10" s="2" t="s">
        <v>127</v>
      </c>
    </row>
    <row r="11" spans="1:3" ht="17">
      <c r="A11" s="7" t="s">
        <v>125</v>
      </c>
      <c r="B11" s="2" t="b">
        <v>1</v>
      </c>
      <c r="C11" s="2" t="s">
        <v>128</v>
      </c>
    </row>
    <row r="12" spans="1:3" ht="17">
      <c r="A12" s="7" t="s">
        <v>126</v>
      </c>
      <c r="B12" s="2" t="b">
        <v>1</v>
      </c>
      <c r="C12" s="2" t="s">
        <v>129</v>
      </c>
    </row>
    <row r="13" spans="1:3" ht="19">
      <c r="A13" s="7" t="s">
        <v>132</v>
      </c>
      <c r="B13" s="13" t="s">
        <v>136</v>
      </c>
      <c r="C13" s="2" t="s">
        <v>133</v>
      </c>
    </row>
    <row r="14" spans="1:3" ht="18">
      <c r="A14" s="11" t="s">
        <v>134</v>
      </c>
      <c r="B14" s="12">
        <v>46269</v>
      </c>
      <c r="C14" s="2" t="s">
        <v>135</v>
      </c>
    </row>
    <row r="15" spans="1:3" ht="17">
      <c r="B15" s="7"/>
    </row>
  </sheetData>
  <dataValidations count="4">
    <dataValidation type="list" allowBlank="1" showInputMessage="1" showErrorMessage="1" sqref="B9" xr:uid="{DC5908DA-79A6-6D48-A9D3-71B381145073}">
      <formula1>"USD,CHF,EUR,GBP"</formula1>
    </dataValidation>
    <dataValidation type="list" allowBlank="1" showInputMessage="1" showErrorMessage="1" sqref="B7" xr:uid="{40777B14-1E95-C140-9F1E-3E8099BA9959}">
      <formula1>"single_factor,global_sector,global_region,global_sector_region"</formula1>
    </dataValidation>
    <dataValidation type="list" allowBlank="1" showInputMessage="1" showErrorMessage="1" sqref="B5" xr:uid="{E105C448-AA40-864D-93C5-1517790F1586}">
      <formula1>"independent,gaussian_copula,t_copula"</formula1>
    </dataValidation>
    <dataValidation type="list" allowBlank="1" showInputMessage="1" showErrorMessage="1" sqref="B10:B12" xr:uid="{6E0E4CE5-7230-4741-AA25-CB9232C60284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29DC-F213-264D-AEDF-0527603244C0}">
  <dimension ref="A1:D9"/>
  <sheetViews>
    <sheetView workbookViewId="0">
      <selection activeCell="C14" sqref="C14"/>
    </sheetView>
  </sheetViews>
  <sheetFormatPr baseColWidth="10" defaultRowHeight="16"/>
  <cols>
    <col min="4" max="4" width="69.6640625" bestFit="1" customWidth="1"/>
  </cols>
  <sheetData>
    <row r="1" spans="1:4">
      <c r="A1" s="1" t="s">
        <v>90</v>
      </c>
      <c r="B1" s="1" t="s">
        <v>91</v>
      </c>
      <c r="C1" s="1" t="s">
        <v>1</v>
      </c>
      <c r="D1" s="1" t="s">
        <v>92</v>
      </c>
    </row>
    <row r="2" spans="1:4">
      <c r="A2" s="2" t="s">
        <v>93</v>
      </c>
      <c r="B2" s="2" t="s">
        <v>94</v>
      </c>
      <c r="C2" s="2" t="s">
        <v>95</v>
      </c>
      <c r="D2" s="2" t="s">
        <v>96</v>
      </c>
    </row>
    <row r="3" spans="1:4">
      <c r="A3" s="2" t="s">
        <v>15</v>
      </c>
      <c r="B3" s="2" t="s">
        <v>29</v>
      </c>
      <c r="C3" s="2" t="s">
        <v>97</v>
      </c>
      <c r="D3" s="2" t="s">
        <v>98</v>
      </c>
    </row>
    <row r="4" spans="1:4">
      <c r="A4" s="2" t="s">
        <v>15</v>
      </c>
      <c r="B4" s="2" t="s">
        <v>22</v>
      </c>
      <c r="C4" s="2" t="s">
        <v>99</v>
      </c>
      <c r="D4" s="2" t="s">
        <v>100</v>
      </c>
    </row>
    <row r="5" spans="1:4">
      <c r="A5" s="2" t="s">
        <v>14</v>
      </c>
      <c r="B5" s="2" t="s">
        <v>28</v>
      </c>
      <c r="C5" s="2" t="s">
        <v>25</v>
      </c>
      <c r="D5" s="2" t="s">
        <v>101</v>
      </c>
    </row>
    <row r="6" spans="1:4">
      <c r="A6" s="2" t="s">
        <v>14</v>
      </c>
      <c r="B6" s="2" t="s">
        <v>21</v>
      </c>
      <c r="C6" s="2" t="s">
        <v>18</v>
      </c>
      <c r="D6" s="2" t="s">
        <v>102</v>
      </c>
    </row>
    <row r="7" spans="1:4">
      <c r="A7" s="2" t="s">
        <v>14</v>
      </c>
      <c r="B7" s="2" t="s">
        <v>34</v>
      </c>
      <c r="C7" s="2" t="s">
        <v>32</v>
      </c>
      <c r="D7" s="2" t="s">
        <v>103</v>
      </c>
    </row>
    <row r="8" spans="1:4">
      <c r="A8" s="2" t="s">
        <v>14</v>
      </c>
      <c r="B8" s="2" t="s">
        <v>45</v>
      </c>
      <c r="C8" s="2" t="s">
        <v>42</v>
      </c>
      <c r="D8" s="2" t="s">
        <v>104</v>
      </c>
    </row>
    <row r="9" spans="1:4">
      <c r="A9" s="2" t="s">
        <v>14</v>
      </c>
      <c r="B9" s="2" t="s">
        <v>39</v>
      </c>
      <c r="C9" s="2" t="s">
        <v>37</v>
      </c>
      <c r="D9" s="2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A869-DE74-194D-B6C9-ECFB328C0638}">
  <dimension ref="A1:L9"/>
  <sheetViews>
    <sheetView workbookViewId="0">
      <selection activeCell="D6" sqref="D6"/>
    </sheetView>
  </sheetViews>
  <sheetFormatPr baseColWidth="10" defaultRowHeight="16"/>
  <sheetData>
    <row r="1" spans="1:12">
      <c r="A1" s="6" t="s">
        <v>82</v>
      </c>
      <c r="B1" s="6" t="s">
        <v>83</v>
      </c>
      <c r="C1" s="6" t="s">
        <v>84</v>
      </c>
      <c r="D1" s="6" t="s">
        <v>85</v>
      </c>
      <c r="E1" s="6" t="s">
        <v>27</v>
      </c>
      <c r="F1" s="6" t="s">
        <v>33</v>
      </c>
      <c r="G1" s="6" t="s">
        <v>44</v>
      </c>
      <c r="H1" s="6" t="s">
        <v>49</v>
      </c>
      <c r="I1" s="6" t="s">
        <v>86</v>
      </c>
      <c r="J1" s="6" t="s">
        <v>87</v>
      </c>
      <c r="K1" s="6" t="s">
        <v>88</v>
      </c>
      <c r="L1" s="6" t="s">
        <v>89</v>
      </c>
    </row>
    <row r="2" spans="1:12">
      <c r="A2" s="6" t="s">
        <v>85</v>
      </c>
      <c r="B2">
        <v>30</v>
      </c>
      <c r="C2">
        <f t="shared" ref="C2:C8" si="0">B2/10000</f>
        <v>3.0000000000000001E-3</v>
      </c>
      <c r="D2">
        <v>0.91500000000000004</v>
      </c>
      <c r="E2">
        <v>7.4999999999999997E-2</v>
      </c>
      <c r="F2">
        <v>8.0000000000000002E-3</v>
      </c>
      <c r="G2">
        <v>1E-3</v>
      </c>
      <c r="H2">
        <v>2.9999999999999997E-4</v>
      </c>
      <c r="I2">
        <v>1E-4</v>
      </c>
      <c r="J2">
        <v>1E-4</v>
      </c>
      <c r="K2">
        <v>5.0000000000000001E-4</v>
      </c>
      <c r="L2">
        <f t="shared" ref="L2:L9" si="1">SUM(D2:K2)</f>
        <v>0.99999999999999989</v>
      </c>
    </row>
    <row r="3" spans="1:12">
      <c r="A3" s="6" t="s">
        <v>27</v>
      </c>
      <c r="B3">
        <v>50</v>
      </c>
      <c r="C3">
        <f t="shared" si="0"/>
        <v>5.0000000000000001E-3</v>
      </c>
      <c r="D3">
        <v>8.0000000000000002E-3</v>
      </c>
      <c r="E3">
        <v>0.9</v>
      </c>
      <c r="F3">
        <v>7.4999999999999997E-2</v>
      </c>
      <c r="G3">
        <v>1.2E-2</v>
      </c>
      <c r="H3">
        <v>2E-3</v>
      </c>
      <c r="I3">
        <v>1E-3</v>
      </c>
      <c r="J3">
        <v>5.0000000000000001E-4</v>
      </c>
      <c r="K3">
        <v>1.5E-3</v>
      </c>
      <c r="L3">
        <f t="shared" si="1"/>
        <v>0.99999999999999989</v>
      </c>
    </row>
    <row r="4" spans="1:12">
      <c r="A4" s="6" t="s">
        <v>33</v>
      </c>
      <c r="B4">
        <v>80</v>
      </c>
      <c r="C4">
        <f t="shared" si="0"/>
        <v>8.0000000000000002E-3</v>
      </c>
      <c r="D4">
        <v>1E-3</v>
      </c>
      <c r="E4">
        <v>2.5000000000000001E-2</v>
      </c>
      <c r="F4">
        <v>0.89</v>
      </c>
      <c r="G4">
        <v>6.5000000000000002E-2</v>
      </c>
      <c r="H4">
        <v>1.2E-2</v>
      </c>
      <c r="I4">
        <v>3.0000000000000001E-3</v>
      </c>
      <c r="J4">
        <v>1E-3</v>
      </c>
      <c r="K4">
        <v>3.0000000000000001E-3</v>
      </c>
      <c r="L4">
        <f t="shared" si="1"/>
        <v>1</v>
      </c>
    </row>
    <row r="5" spans="1:12">
      <c r="A5" s="6" t="s">
        <v>44</v>
      </c>
      <c r="B5">
        <v>150</v>
      </c>
      <c r="C5">
        <f t="shared" si="0"/>
        <v>1.4999999999999999E-2</v>
      </c>
      <c r="D5">
        <v>2.0000000000000001E-4</v>
      </c>
      <c r="E5">
        <v>3.0000000000000001E-3</v>
      </c>
      <c r="F5">
        <v>3.5000000000000003E-2</v>
      </c>
      <c r="G5">
        <v>0.85</v>
      </c>
      <c r="H5">
        <v>7.4999999999999997E-2</v>
      </c>
      <c r="I5">
        <v>0.02</v>
      </c>
      <c r="J5">
        <v>5.0000000000000001E-3</v>
      </c>
      <c r="K5">
        <v>1.18E-2</v>
      </c>
      <c r="L5">
        <f t="shared" si="1"/>
        <v>1</v>
      </c>
    </row>
    <row r="6" spans="1:12">
      <c r="A6" s="6" t="s">
        <v>49</v>
      </c>
      <c r="B6">
        <v>300</v>
      </c>
      <c r="C6">
        <f t="shared" si="0"/>
        <v>0.03</v>
      </c>
      <c r="D6">
        <v>0</v>
      </c>
      <c r="E6">
        <v>5.0000000000000001E-4</v>
      </c>
      <c r="F6">
        <v>5.0000000000000001E-3</v>
      </c>
      <c r="G6">
        <v>3.5000000000000003E-2</v>
      </c>
      <c r="H6">
        <v>0.8</v>
      </c>
      <c r="I6">
        <v>0.1</v>
      </c>
      <c r="J6">
        <v>2.5000000000000001E-2</v>
      </c>
      <c r="K6">
        <v>3.4500000000000003E-2</v>
      </c>
      <c r="L6">
        <f t="shared" si="1"/>
        <v>1</v>
      </c>
    </row>
    <row r="7" spans="1:12">
      <c r="A7" s="6" t="s">
        <v>86</v>
      </c>
      <c r="B7">
        <v>600</v>
      </c>
      <c r="C7">
        <f t="shared" si="0"/>
        <v>0.06</v>
      </c>
      <c r="D7">
        <v>0</v>
      </c>
      <c r="E7">
        <v>1E-4</v>
      </c>
      <c r="F7">
        <v>1E-3</v>
      </c>
      <c r="G7">
        <v>5.0000000000000001E-3</v>
      </c>
      <c r="H7">
        <v>0.05</v>
      </c>
      <c r="I7">
        <v>0.78</v>
      </c>
      <c r="J7">
        <v>0.08</v>
      </c>
      <c r="K7">
        <v>8.3900000000000002E-2</v>
      </c>
      <c r="L7">
        <f t="shared" si="1"/>
        <v>1</v>
      </c>
    </row>
    <row r="8" spans="1:12">
      <c r="A8" s="6" t="s">
        <v>87</v>
      </c>
      <c r="B8">
        <v>1200</v>
      </c>
      <c r="C8">
        <f t="shared" si="0"/>
        <v>0.12</v>
      </c>
      <c r="D8">
        <v>0</v>
      </c>
      <c r="E8">
        <v>0</v>
      </c>
      <c r="F8">
        <v>5.0000000000000001E-4</v>
      </c>
      <c r="G8">
        <v>1.5E-3</v>
      </c>
      <c r="H8">
        <v>8.0000000000000002E-3</v>
      </c>
      <c r="I8">
        <v>0.05</v>
      </c>
      <c r="J8">
        <v>0.6</v>
      </c>
      <c r="K8">
        <v>0.34</v>
      </c>
      <c r="L8">
        <f t="shared" si="1"/>
        <v>1</v>
      </c>
    </row>
    <row r="9" spans="1:12">
      <c r="A9" s="6" t="s">
        <v>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f t="shared" si="1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33F4-14DD-1544-AA56-859AA0366E33}">
  <dimension ref="A1:J9"/>
  <sheetViews>
    <sheetView workbookViewId="0">
      <selection activeCell="E4" sqref="E4"/>
    </sheetView>
  </sheetViews>
  <sheetFormatPr baseColWidth="10" defaultRowHeight="16"/>
  <sheetData>
    <row r="1" spans="1:10">
      <c r="A1" s="6" t="s">
        <v>50</v>
      </c>
      <c r="B1" s="6" t="s">
        <v>4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</row>
    <row r="2" spans="1:10">
      <c r="A2" t="s">
        <v>59</v>
      </c>
      <c r="B2" t="s">
        <v>38</v>
      </c>
      <c r="C2" t="s">
        <v>38</v>
      </c>
      <c r="E2">
        <v>1</v>
      </c>
      <c r="F2">
        <v>46022</v>
      </c>
      <c r="H2" t="s">
        <v>60</v>
      </c>
      <c r="I2" t="s">
        <v>61</v>
      </c>
      <c r="J2" t="s">
        <v>62</v>
      </c>
    </row>
    <row r="3" spans="1:10">
      <c r="A3" t="s">
        <v>59</v>
      </c>
      <c r="B3" t="s">
        <v>19</v>
      </c>
      <c r="C3" t="s">
        <v>38</v>
      </c>
      <c r="E3">
        <v>0.93140000000000001</v>
      </c>
      <c r="F3">
        <v>46022</v>
      </c>
      <c r="H3" t="s">
        <v>63</v>
      </c>
      <c r="I3" t="s">
        <v>61</v>
      </c>
      <c r="J3" t="s">
        <v>64</v>
      </c>
    </row>
    <row r="4" spans="1:10">
      <c r="A4" t="s">
        <v>59</v>
      </c>
      <c r="B4" t="s">
        <v>26</v>
      </c>
      <c r="C4" t="s">
        <v>38</v>
      </c>
      <c r="E4">
        <v>0.79268085109999997</v>
      </c>
      <c r="F4">
        <v>46022</v>
      </c>
      <c r="H4" t="s">
        <v>65</v>
      </c>
      <c r="I4" t="s">
        <v>61</v>
      </c>
      <c r="J4" t="s">
        <v>66</v>
      </c>
    </row>
    <row r="5" spans="1:10">
      <c r="A5" t="s">
        <v>59</v>
      </c>
      <c r="B5" t="s">
        <v>43</v>
      </c>
      <c r="C5" t="s">
        <v>38</v>
      </c>
      <c r="E5">
        <v>1.0673848269999999</v>
      </c>
      <c r="F5">
        <v>46022</v>
      </c>
      <c r="H5" t="s">
        <v>65</v>
      </c>
      <c r="I5" t="s">
        <v>61</v>
      </c>
      <c r="J5" t="s">
        <v>67</v>
      </c>
    </row>
    <row r="6" spans="1:10">
      <c r="A6" t="s">
        <v>68</v>
      </c>
      <c r="B6" t="s">
        <v>38</v>
      </c>
      <c r="D6">
        <v>1</v>
      </c>
      <c r="E6">
        <v>0</v>
      </c>
      <c r="F6">
        <v>46022</v>
      </c>
      <c r="G6" t="s">
        <v>69</v>
      </c>
      <c r="H6" t="s">
        <v>70</v>
      </c>
      <c r="I6" t="s">
        <v>71</v>
      </c>
      <c r="J6" t="s">
        <v>72</v>
      </c>
    </row>
    <row r="7" spans="1:10">
      <c r="A7" t="s">
        <v>68</v>
      </c>
      <c r="B7" t="s">
        <v>19</v>
      </c>
      <c r="D7">
        <v>1</v>
      </c>
      <c r="E7">
        <v>0.02</v>
      </c>
      <c r="F7">
        <v>46022</v>
      </c>
      <c r="G7" t="s">
        <v>69</v>
      </c>
      <c r="H7" t="s">
        <v>73</v>
      </c>
      <c r="I7" t="s">
        <v>74</v>
      </c>
      <c r="J7" t="s">
        <v>75</v>
      </c>
    </row>
    <row r="8" spans="1:10">
      <c r="A8" t="s">
        <v>68</v>
      </c>
      <c r="B8" t="s">
        <v>26</v>
      </c>
      <c r="D8">
        <v>1</v>
      </c>
      <c r="E8">
        <v>3.6249999999999998E-2</v>
      </c>
      <c r="F8">
        <v>46022</v>
      </c>
      <c r="G8" t="s">
        <v>69</v>
      </c>
      <c r="H8" t="s">
        <v>76</v>
      </c>
      <c r="I8" t="s">
        <v>77</v>
      </c>
      <c r="J8" t="s">
        <v>78</v>
      </c>
    </row>
    <row r="9" spans="1:10">
      <c r="A9" t="s">
        <v>68</v>
      </c>
      <c r="B9" t="s">
        <v>43</v>
      </c>
      <c r="D9">
        <v>1</v>
      </c>
      <c r="E9">
        <v>3.7499999999999999E-2</v>
      </c>
      <c r="F9">
        <v>46022</v>
      </c>
      <c r="G9" t="s">
        <v>69</v>
      </c>
      <c r="H9" t="s">
        <v>79</v>
      </c>
      <c r="I9" t="s">
        <v>80</v>
      </c>
      <c r="J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credit_portfolio</vt:lpstr>
      <vt:lpstr>model_settings</vt:lpstr>
      <vt:lpstr>factor_proxies</vt:lpstr>
      <vt:lpstr>rating_migration_matrix</vt:lpstr>
      <vt:lpstr>market_data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Zini, Marco (STUDENTS)</dc:creator>
  <cp:lastModifiedBy>Zini, Marco (STUDENTS)</cp:lastModifiedBy>
  <dcterms:created xsi:type="dcterms:W3CDTF">2026-08-31T19:24:41Z</dcterms:created>
  <dcterms:modified xsi:type="dcterms:W3CDTF">2026-09-06T12:52:14Z</dcterms:modified>
</cp:coreProperties>
</file>